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" sheetId="2" state="visible" r:id="rId4"/>
    <sheet name="Costs" sheetId="3" state="visible" r:id="rId5"/>
    <sheet name="P&amp;L Summary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<sst xmlns="http://schemas.openxmlformats.org/spreadsheetml/2006/main" count="158" uniqueCount="114">
  <si>
    <t xml:space="preserve">BetweenPages — Financial Model</t>
  </si>
  <si>
    <t xml:space="preserve">Influencer Affiliate Platform · Global · GCP Infrastructure</t>
  </si>
  <si>
    <t xml:space="preserve">ASSUMPTIONS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</si>
  <si>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</si>
  <si>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</si>
  <si>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</si>
  <si>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</si>
  <si>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</si>
  <si>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GROWTH &amp; USERS</t>
  </si>
  <si>
    <t xml:space="preserve">Monthly Active Users (MAU)</t>
  </si>
  <si>
    <t xml:space="preserve">MAU Growth Rate (YoY)</t>
  </si>
  <si>
    <t xml:space="preserve">Registration-to-MAU Ratio</t>
  </si>
  <si>
    <t xml:space="preserve">Registered Users (cumulative)</t>
  </si>
  <si>
    <t xml:space="preserve">INFLUENCER METRICS</t>
  </si>
  <si>
    <t xml:space="preserve">Active Influencers</t>
  </si>
  <si>
    <t xml:space="preserve">Avg Books per Influencer List</t>
  </si>
  <si>
    <t xml:space="preserve">Total Curated Books (unique)</t>
  </si>
  <si>
    <t xml:space="preserve">Avg Followers per Influencer</t>
  </si>
  <si>
    <t xml:space="preserve">Click-Through Rate (CTR)</t>
  </si>
  <si>
    <t xml:space="preserve">Conversion Rate (Click to Purchase)</t>
  </si>
  <si>
    <t xml:space="preserve">REVENUE ASSUMPTIONS</t>
  </si>
  <si>
    <t xml:space="preserve">Avg Book Price (Global Blended, USD)</t>
  </si>
  <si>
    <t xml:space="preserve">Avg Affiliate Commission Rate</t>
  </si>
  <si>
    <t xml:space="preserve">Platform Cut of Influencer Commission</t>
  </si>
  <si>
    <t xml:space="preserve">Direct Publisher Link Premium (%)</t>
  </si>
  <si>
    <t xml:space="preserve">% Revenue from Direct Publisher (Yr3+)</t>
  </si>
  <si>
    <t xml:space="preserve">GCP INFRASTRUCTURE COSTS</t>
  </si>
  <si>
    <t xml:space="preserve">Cloud Run / GKE (monthly, USD)</t>
  </si>
  <si>
    <t xml:space="preserve">Firestore (monthly)</t>
  </si>
  <si>
    <t xml:space="preserve">Gemini API Cost per 1K Sessions</t>
  </si>
  <si>
    <t xml:space="preserve">Avg Chat Sessions per MAU per Month</t>
  </si>
  <si>
    <t xml:space="preserve">Cloud CDN &amp; Networking (monthly)</t>
  </si>
  <si>
    <t xml:space="preserve">Cloud Storage &amp; Monitoring (monthly)</t>
  </si>
  <si>
    <t xml:space="preserve">Domain, SSL, DNS (monthly)</t>
  </si>
  <si>
    <t xml:space="preserve">TEAM &amp; OPERATING EXPENSES</t>
  </si>
  <si>
    <t xml:space="preserve">Founding Team (# people, equity)</t>
  </si>
  <si>
    <t xml:space="preserve">Paid Engineers (FTE)</t>
  </si>
  <si>
    <t xml:space="preserve">Avg Engineer Salary (annual, USD)</t>
  </si>
  <si>
    <t xml:space="preserve">Content / Influencer Manager (FTE)</t>
  </si>
  <si>
    <t xml:space="preserve">Avg Content Manager Salary (annual)</t>
  </si>
  <si>
    <t xml:space="preserve">Marketing Budget (annual, USD)</t>
  </si>
  <si>
    <t xml:space="preserve">Legal &amp; Compliance (annual)</t>
  </si>
  <si>
    <t xml:space="preserve">Misc / Admin (annual)</t>
  </si>
  <si>
    <t xml:space="preserve">Revenue Model</t>
  </si>
  <si>
    <t xml:space="preserve">REVENUE BREAKDOWN</t>
  </si>
  <si>
    <t xml:space="preserve">AFFILIATE REVENUE</t>
  </si>
  <si>
    <t xml:space="preserve">Total Influencer Reach (impressions/mo)</t>
  </si>
  <si>
    <t xml:space="preserve">Affiliate Link Clicks (monthly)</t>
  </si>
  <si>
    <t xml:space="preserve">Purchases (monthly)</t>
  </si>
  <si>
    <t xml:space="preserve">Gross Merchandise Value (GMV, annual)</t>
  </si>
  <si>
    <t xml:space="preserve">Total Affiliate Commissions Earned</t>
  </si>
  <si>
    <t xml:space="preserve">Platform Affiliate Revenue (our cut)</t>
  </si>
  <si>
    <t xml:space="preserve">DIRECT PUBLISHER REVENUE (Year 3+)</t>
  </si>
  <si>
    <t xml:space="preserve">GMV via Direct Publisher Links</t>
  </si>
  <si>
    <t xml:space="preserve">Publisher Commission (affiliate + premium)</t>
  </si>
  <si>
    <t xml:space="preserve">Direct Publisher Revenue</t>
  </si>
  <si>
    <t xml:space="preserve">TOTAL REVENUE</t>
  </si>
  <si>
    <t xml:space="preserve">Revenue per MAU (annual)</t>
  </si>
  <si>
    <t xml:space="preserve">Cost Model</t>
  </si>
  <si>
    <t xml:space="preserve">COST BREAKDOWN</t>
  </si>
  <si>
    <t xml:space="preserve">GCP INFRASTRUCTURE (Annual)</t>
  </si>
  <si>
    <t xml:space="preserve">Compute (Cloud Run / GKE)</t>
  </si>
  <si>
    <t xml:space="preserve">Firestore Database</t>
  </si>
  <si>
    <t xml:space="preserve">Gemini AI API</t>
  </si>
  <si>
    <t xml:space="preserve">CDN &amp; Networking</t>
  </si>
  <si>
    <t xml:space="preserve">Storage &amp; Monitoring</t>
  </si>
  <si>
    <t xml:space="preserve">Domain / SSL / DNS</t>
  </si>
  <si>
    <t xml:space="preserve">Total GCP Infrastructure</t>
  </si>
  <si>
    <t xml:space="preserve">TEAM &amp; PERSONNEL (Annual)</t>
  </si>
  <si>
    <t xml:space="preserve">Engineering Team</t>
  </si>
  <si>
    <t xml:space="preserve">Content / Influencer Management</t>
  </si>
  <si>
    <t xml:space="preserve">Total Personnel</t>
  </si>
  <si>
    <t xml:space="preserve">OTHER OPERATING EXPENSES (Annual)</t>
  </si>
  <si>
    <t xml:space="preserve">Marketing &amp; Growth</t>
  </si>
  <si>
    <t xml:space="preserve">Legal &amp; Compliance</t>
  </si>
  <si>
    <t xml:space="preserve">Miscellaneous / Admin</t>
  </si>
  <si>
    <t xml:space="preserve">Total Other OpEx</t>
  </si>
  <si>
    <t xml:space="preserve">TOTAL COSTS</t>
  </si>
  <si>
    <t xml:space="preserve">Cost per MAU (annual)</t>
  </si>
  <si>
    <t xml:space="preserve">Profit &amp; Loss Summary</t>
  </si>
  <si>
    <t xml:space="preserve">P&amp;L STATEMENT</t>
  </si>
  <si>
    <t xml:space="preserve">Affiliate Revenue</t>
  </si>
  <si>
    <t xml:space="preserve">Total Revenue</t>
  </si>
  <si>
    <t xml:space="preserve">COSTS</t>
  </si>
  <si>
    <t xml:space="preserve">GCP Infrastructure</t>
  </si>
  <si>
    <t xml:space="preserve">Personnel</t>
  </si>
  <si>
    <t xml:space="preserve">Other Operating Expenses</t>
  </si>
  <si>
    <t xml:space="preserve">Total Costs</t>
  </si>
  <si>
    <t xml:space="preserve">OPERATING PROFIT (EBITDA)</t>
  </si>
  <si>
    <t xml:space="preserve">Operating Margin</t>
  </si>
  <si>
    <t xml:space="preserve">Cumulative Profit / (Loss)</t>
  </si>
  <si>
    <t xml:space="preserve">KEY METRICS</t>
  </si>
  <si>
    <t xml:space="preserve">Monthly Active Users</t>
  </si>
  <si>
    <t xml:space="preserve">Revenue per MAU</t>
  </si>
  <si>
    <t xml:space="preserve">Cost per MAU</t>
  </si>
  <si>
    <t xml:space="preserve">GCP Cost as % of Revenue</t>
  </si>
  <si>
    <t xml:space="preserve">Breakeven Year</t>
  </si>
  <si>
    <t xml:space="preserve">Scenario Analysis</t>
  </si>
  <si>
    <t xml:space="preserve">Conservative=60% of base, Aggressive=150%</t>
  </si>
  <si>
    <t xml:space="preserve">CONSERVATIVE SCENARIO</t>
  </si>
  <si>
    <t xml:space="preserve">MAU (60% of Base)</t>
  </si>
  <si>
    <t xml:space="preserve">Active Influencers (60%)</t>
  </si>
  <si>
    <t xml:space="preserve">Estimated Revenue</t>
  </si>
  <si>
    <t xml:space="preserve">Estimated Costs</t>
  </si>
  <si>
    <t xml:space="preserve">Operating Profit</t>
  </si>
  <si>
    <t xml:space="preserve">BASE CASE</t>
  </si>
  <si>
    <t xml:space="preserve">MAU</t>
  </si>
  <si>
    <t xml:space="preserve">AGGRESSIVE SCENARIO</t>
  </si>
  <si>
    <t xml:space="preserve">MAU (150% of Base)</t>
  </si>
  <si>
    <t xml:space="preserve">Active Influencers (150%)</t>
  </si>
  <si>
    <t xml:space="preserve">SCENARIO COMPARISON — Operating Profit</t>
  </si>
  <si>
    <t xml:space="preserve">Conservative</t>
  </si>
  <si>
    <t xml:space="preserve">Base Case</t>
  </si>
  <si>
    <t xml:space="preserve">Aggressive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</si>
</sst>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\$#,##0.00;&quot;($&quot;#,##0.00\);\-"/>
    <numFmt numFmtId="169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EAF6"/>
        <bgColor rgb="FFE3F2FD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9F9F9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E3F2FD"/>
      </patternFill>
    </fill>
    <fill>
      <patternFill patternType="solid">
        <fgColor rgb="FFFFCDD2"/>
        <bgColor rgb="FFD9D9D9"/>
      </patternFill>
    </fill>
    <fill>
      <patternFill patternType="solid">
        <fgColor rgb="FFFFF3E0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medium">
        <color rgb="FF1A1A2E"/>
      </bottom>
      <diagonal/>
    </border>
    <border diagonalUp="false" diagonalDown="false">
      <left/>
      <right/>
      <top/>
      <bottom style="double">
        <color rgb="FF1A1A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8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9C4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FF3E0"/>
      <rgbColor rgb="FFF9F9F9"/>
      <rgbColor rgb="FFFF99CC"/>
      <rgbColor rgb="FFCC99FF"/>
      <rgbColor rgb="FFFFCDD2"/>
      <rgbColor rgb="FF3366FF"/>
      <rgbColor rgb="FF66BB6A"/>
      <rgbColor rgb="FF99CC00"/>
      <rgbColor rgb="FFFFB74D"/>
      <rgbColor rgb="FFFF9900"/>
      <rgbColor rgb="FFFF6F00"/>
      <rgbColor rgb="FF666666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Operating Profit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"Conservative"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FFB7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Scenarios!$B$25:$F$25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Scenarios!$B$26:$F$26</c:f>
              <c:numCache>
                <c:formatCode>\$#,##0;"($"#,##0\);\-</c:formatCode>
                <c:ptCount val="5"/>
                <c:pt idx="0">
                  <c:v>-2478.768</c:v>
                </c:pt>
                <c:pt idx="1">
                  <c:v>-71388.088</c:v>
                </c:pt>
                <c:pt idx="2">
                  <c:v>-280119.264</c:v>
                </c:pt>
                <c:pt idx="3">
                  <c:v>-545203.87</c:v>
                </c:pt>
                <c:pt idx="4">
                  <c:v>-243364.8</c:v>
                </c:pt>
              </c:numCache>
            </c:numRef>
          </c:val>
        </c:ser>
        <c:ser>
          <c:idx val="1"/>
          <c:order val="1"/>
          <c:tx>
            <c:strRef>
              <c:f>"Base Case"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1A1A2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Scenarios!$B$25:$F$25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Scenarios!$B$27:$F$27</c:f>
              <c:numCache>
                <c:formatCode>\$#,##0;"($"#,##0\);\-</c:formatCode>
                <c:ptCount val="5"/>
                <c:pt idx="0">
                  <c:v>-3562.8</c:v>
                </c:pt>
                <c:pt idx="1">
                  <c:v>-73455.8</c:v>
                </c:pt>
                <c:pt idx="2">
                  <c:v>-257282.4</c:v>
                </c:pt>
                <c:pt idx="3">
                  <c:v>-292850.75</c:v>
                </c:pt>
                <c:pt idx="4">
                  <c:v>1669080</c:v>
                </c:pt>
              </c:numCache>
            </c:numRef>
          </c:val>
        </c:ser>
        <c:ser>
          <c:idx val="2"/>
          <c:order val="2"/>
          <c:tx>
            <c:strRef>
              <c:f>"Aggressive"</c:f>
              <c:strCache>
                <c:ptCount val="1"/>
                <c:pt idx="0">
                  <c:v>Aggressive</c:v>
                </c:pt>
              </c:strCache>
            </c:strRef>
          </c:tx>
          <c:spPr>
            <a:solidFill>
              <a:srgbClr val="66BB6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Scenarios!$B$25:$F$25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Scenarios!$B$28:$F$28</c:f>
              <c:numCache>
                <c:formatCode>\$#,##0;"($"#,##0\);\-</c:formatCode>
                <c:ptCount val="5"/>
                <c:pt idx="0">
                  <c:v>-4788.3</c:v>
                </c:pt>
                <c:pt idx="1">
                  <c:v>-85225.55</c:v>
                </c:pt>
                <c:pt idx="2">
                  <c:v>-240080.4</c:v>
                </c:pt>
                <c:pt idx="3">
                  <c:v>165690.8125</c:v>
                </c:pt>
                <c:pt idx="4">
                  <c:v>5398410</c:v>
                </c:pt>
              </c:numCache>
            </c:numRef>
          </c:val>
        </c:ser>
        <c:gapWidth val="150"/>
        <c:overlap val="0"/>
        <c:axId val="7397187"/>
        <c:axId val="77786445"/>
      </c:barChart>
      <c:catAx>
        <c:axId val="7397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786445"/>
        <c:crosses val="autoZero"/>
        <c:auto val="1"/>
        <c:lblAlgn val="ctr"/>
        <c:lblOffset val="100"/>
        <c:noMultiLvlLbl val="0"/>
      </c:catAx>
      <c:valAx>
        <c:axId val="77786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71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4</xdr:col>
      <xdr:colOff>1152720</xdr:colOff>
      <xdr:row>56</xdr:row>
      <xdr:rowOff>86400</xdr:rowOff>
    </xdr:to>
    <xdr:graphicFrame>
      <xdr:nvGraphicFramePr>
        <xdr:cNvPr id="1" name="Chart 1"/>
        <xdr:cNvGraphicFramePr/>
      </xdr:nvGraphicFramePr>
      <xdr:xfrm>
        <a:off x="0" y="574488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/>
      <c r="C5" s="6"/>
      <c r="D5" s="6"/>
      <c r="E5" s="6"/>
      <c r="F5" s="6"/>
    </row>
    <row r="6" customFormat="false" ht="15" hidden="false" customHeight="false" outlineLevel="0" collapsed="false">
      <c r="A6" s="7" t="s">
        <v>9</v>
      </c>
      <c r="B6" s="8" t="n">
        <v>2000</v>
      </c>
      <c r="C6" s="8" t="n">
        <v>15000</v>
      </c>
      <c r="D6" s="8" t="n">
        <v>80000</v>
      </c>
      <c r="E6" s="8" t="n">
        <v>300000</v>
      </c>
      <c r="F6" s="8" t="n">
        <v>800000</v>
      </c>
    </row>
    <row r="7" customFormat="false" ht="15" hidden="false" customHeight="false" outlineLevel="0" collapsed="false">
      <c r="A7" s="9" t="s">
        <v>10</v>
      </c>
      <c r="B7" s="10" t="n">
        <v>0</v>
      </c>
      <c r="C7" s="10" t="n">
        <f aca="false">(C6-B6)/B6</f>
        <v>6.5</v>
      </c>
      <c r="D7" s="10" t="n">
        <f aca="false">(D6-C6)/C6</f>
        <v>4.33333333333333</v>
      </c>
      <c r="E7" s="10" t="n">
        <f aca="false">(E6-D6)/D6</f>
        <v>2.75</v>
      </c>
      <c r="F7" s="10" t="n">
        <f aca="false">(F6-E6)/E6</f>
        <v>1.66666666666667</v>
      </c>
    </row>
    <row r="8" customFormat="false" ht="15" hidden="false" customHeight="false" outlineLevel="0" collapsed="false">
      <c r="A8" s="7" t="s">
        <v>11</v>
      </c>
      <c r="B8" s="11" t="n">
        <v>0.4</v>
      </c>
      <c r="C8" s="11" t="n">
        <v>0.35</v>
      </c>
      <c r="D8" s="11" t="n">
        <v>0.3</v>
      </c>
      <c r="E8" s="11" t="n">
        <v>0.28</v>
      </c>
      <c r="F8" s="11" t="n">
        <v>0.25</v>
      </c>
    </row>
    <row r="9" customFormat="false" ht="15" hidden="false" customHeight="false" outlineLevel="0" collapsed="false">
      <c r="A9" s="9" t="s">
        <v>12</v>
      </c>
      <c r="B9" s="12" t="n">
        <f aca="false">IF(B8=0,0,B6/B8)</f>
        <v>5000</v>
      </c>
      <c r="C9" s="12" t="n">
        <f aca="false">IF(C8=0,0,C6/C8)</f>
        <v>42857.1428571429</v>
      </c>
      <c r="D9" s="12" t="n">
        <f aca="false">IF(D8=0,0,D6/D8)</f>
        <v>266666.666666667</v>
      </c>
      <c r="E9" s="12" t="n">
        <f aca="false">IF(E8=0,0,E6/E8)</f>
        <v>1071428.57142857</v>
      </c>
      <c r="F9" s="12" t="n">
        <f aca="false">IF(F8=0,0,F6/F8)</f>
        <v>3200000</v>
      </c>
    </row>
    <row r="11" customFormat="false" ht="15" hidden="false" customHeight="false" outlineLevel="0" collapsed="false">
      <c r="A11" s="5" t="s">
        <v>13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7" t="s">
        <v>14</v>
      </c>
      <c r="B12" s="8" t="n">
        <v>10</v>
      </c>
      <c r="C12" s="8" t="n">
        <v>75</v>
      </c>
      <c r="D12" s="8" t="n">
        <v>400</v>
      </c>
      <c r="E12" s="8" t="n">
        <v>1500</v>
      </c>
      <c r="F12" s="8" t="n">
        <v>5000</v>
      </c>
    </row>
    <row r="13" customFormat="false" ht="15" hidden="false" customHeight="false" outlineLevel="0" collapsed="false">
      <c r="A13" s="7" t="s">
        <v>15</v>
      </c>
      <c r="B13" s="8" t="n">
        <v>12</v>
      </c>
      <c r="C13" s="8" t="n">
        <v>15</v>
      </c>
      <c r="D13" s="8" t="n">
        <v>18</v>
      </c>
      <c r="E13" s="8" t="n">
        <v>20</v>
      </c>
      <c r="F13" s="8" t="n">
        <v>22</v>
      </c>
    </row>
    <row r="14" customFormat="false" ht="15" hidden="false" customHeight="false" outlineLevel="0" collapsed="false">
      <c r="A14" s="9" t="s">
        <v>16</v>
      </c>
      <c r="B14" s="12" t="n">
        <f aca="false">B12*B13*0.6</f>
        <v>72</v>
      </c>
      <c r="C14" s="12" t="n">
        <f aca="false">C12*C13*0.6</f>
        <v>675</v>
      </c>
      <c r="D14" s="12" t="n">
        <f aca="false">D12*D13*0.6</f>
        <v>4320</v>
      </c>
      <c r="E14" s="12" t="n">
        <f aca="false">E12*E13*0.6</f>
        <v>18000</v>
      </c>
      <c r="F14" s="12" t="n">
        <f aca="false">F12*F13*0.6</f>
        <v>66000</v>
      </c>
    </row>
    <row r="15" customFormat="false" ht="15" hidden="false" customHeight="false" outlineLevel="0" collapsed="false">
      <c r="A15" s="7" t="s">
        <v>17</v>
      </c>
      <c r="B15" s="8" t="n">
        <v>5000</v>
      </c>
      <c r="C15" s="8" t="n">
        <v>8000</v>
      </c>
      <c r="D15" s="8" t="n">
        <v>12000</v>
      </c>
      <c r="E15" s="8" t="n">
        <v>15000</v>
      </c>
      <c r="F15" s="8" t="n">
        <v>18000</v>
      </c>
    </row>
    <row r="16" customFormat="false" ht="15" hidden="false" customHeight="false" outlineLevel="0" collapsed="false">
      <c r="A16" s="7" t="s">
        <v>18</v>
      </c>
      <c r="B16" s="11" t="n">
        <v>0.03</v>
      </c>
      <c r="C16" s="11" t="n">
        <v>0.035</v>
      </c>
      <c r="D16" s="11" t="n">
        <v>0.04</v>
      </c>
      <c r="E16" s="11" t="n">
        <v>0.042</v>
      </c>
      <c r="F16" s="11" t="n">
        <v>0.045</v>
      </c>
    </row>
    <row r="17" customFormat="false" ht="15" hidden="false" customHeight="false" outlineLevel="0" collapsed="false">
      <c r="A17" s="7" t="s">
        <v>19</v>
      </c>
      <c r="B17" s="11" t="n">
        <v>0.08</v>
      </c>
      <c r="C17" s="11" t="n">
        <v>0.09</v>
      </c>
      <c r="D17" s="11" t="n">
        <v>0.1</v>
      </c>
      <c r="E17" s="11" t="n">
        <v>0.11</v>
      </c>
      <c r="F17" s="11" t="n">
        <v>0.12</v>
      </c>
    </row>
    <row r="19" customFormat="false" ht="15" hidden="false" customHeight="false" outlineLevel="0" collapsed="false">
      <c r="A19" s="5" t="s">
        <v>20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7" t="s">
        <v>21</v>
      </c>
      <c r="B20" s="13" t="n">
        <v>18</v>
      </c>
      <c r="C20" s="13" t="n">
        <v>18</v>
      </c>
      <c r="D20" s="13" t="n">
        <v>19</v>
      </c>
      <c r="E20" s="13" t="n">
        <v>19</v>
      </c>
      <c r="F20" s="13" t="n">
        <v>20</v>
      </c>
    </row>
    <row r="21" customFormat="false" ht="15" hidden="false" customHeight="false" outlineLevel="0" collapsed="false">
      <c r="A21" s="7" t="s">
        <v>22</v>
      </c>
      <c r="B21" s="11" t="n">
        <v>0.065</v>
      </c>
      <c r="C21" s="11" t="n">
        <v>0.07</v>
      </c>
      <c r="D21" s="11" t="n">
        <v>0.075</v>
      </c>
      <c r="E21" s="11" t="n">
        <v>0.08</v>
      </c>
      <c r="F21" s="11" t="n">
        <v>0.085</v>
      </c>
    </row>
    <row r="22" customFormat="false" ht="15" hidden="false" customHeight="false" outlineLevel="0" collapsed="false">
      <c r="A22" s="7" t="s">
        <v>23</v>
      </c>
      <c r="B22" s="11" t="n">
        <v>0.25</v>
      </c>
      <c r="C22" s="11" t="n">
        <v>0.25</v>
      </c>
      <c r="D22" s="11" t="n">
        <v>0.25</v>
      </c>
      <c r="E22" s="11" t="n">
        <v>0.25</v>
      </c>
      <c r="F22" s="11" t="n">
        <v>0.25</v>
      </c>
    </row>
    <row r="23" customFormat="false" ht="15" hidden="false" customHeight="false" outlineLevel="0" collapsed="false">
      <c r="A23" s="7" t="s">
        <v>24</v>
      </c>
      <c r="B23" s="11" t="n">
        <v>0</v>
      </c>
      <c r="C23" s="11" t="n">
        <v>0</v>
      </c>
      <c r="D23" s="11" t="n">
        <v>0.04</v>
      </c>
      <c r="E23" s="11" t="n">
        <v>0.06</v>
      </c>
      <c r="F23" s="11" t="n">
        <v>0.08</v>
      </c>
    </row>
    <row r="24" customFormat="false" ht="15" hidden="false" customHeight="false" outlineLevel="0" collapsed="false">
      <c r="A24" s="7" t="s">
        <v>25</v>
      </c>
      <c r="B24" s="11" t="n">
        <v>0</v>
      </c>
      <c r="C24" s="11" t="n">
        <v>0</v>
      </c>
      <c r="D24" s="11" t="n">
        <v>0.1</v>
      </c>
      <c r="E24" s="11" t="n">
        <v>0.25</v>
      </c>
      <c r="F24" s="11" t="n">
        <v>0.4</v>
      </c>
    </row>
    <row r="26" customFormat="false" ht="15" hidden="false" customHeight="false" outlineLevel="0" collapsed="false">
      <c r="A26" s="5" t="s">
        <v>26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7" t="s">
        <v>27</v>
      </c>
      <c r="B27" s="13" t="n">
        <v>150</v>
      </c>
      <c r="C27" s="13" t="n">
        <v>600</v>
      </c>
      <c r="D27" s="13" t="n">
        <v>2500</v>
      </c>
      <c r="E27" s="13" t="n">
        <v>8000</v>
      </c>
      <c r="F27" s="13" t="n">
        <v>18000</v>
      </c>
    </row>
    <row r="28" customFormat="false" ht="15" hidden="false" customHeight="false" outlineLevel="0" collapsed="false">
      <c r="A28" s="7" t="s">
        <v>28</v>
      </c>
      <c r="B28" s="13" t="n">
        <v>25</v>
      </c>
      <c r="C28" s="13" t="n">
        <v>200</v>
      </c>
      <c r="D28" s="13" t="n">
        <v>1200</v>
      </c>
      <c r="E28" s="13" t="n">
        <v>5000</v>
      </c>
      <c r="F28" s="13" t="n">
        <v>15000</v>
      </c>
    </row>
    <row r="29" customFormat="false" ht="15" hidden="false" customHeight="false" outlineLevel="0" collapsed="false">
      <c r="A29" s="7" t="s">
        <v>29</v>
      </c>
      <c r="B29" s="14" t="n">
        <v>1.5</v>
      </c>
      <c r="C29" s="14" t="n">
        <v>1.2</v>
      </c>
      <c r="D29" s="14" t="n">
        <v>1</v>
      </c>
      <c r="E29" s="14" t="n">
        <v>0.85</v>
      </c>
      <c r="F29" s="14" t="n">
        <v>0.75</v>
      </c>
    </row>
    <row r="30" customFormat="false" ht="15" hidden="false" customHeight="false" outlineLevel="0" collapsed="false">
      <c r="A30" s="7" t="s">
        <v>30</v>
      </c>
      <c r="B30" s="8" t="n">
        <v>4</v>
      </c>
      <c r="C30" s="8" t="n">
        <v>5</v>
      </c>
      <c r="D30" s="8" t="n">
        <v>6</v>
      </c>
      <c r="E30" s="8" t="n">
        <v>6</v>
      </c>
      <c r="F30" s="8" t="n">
        <v>7</v>
      </c>
    </row>
    <row r="31" customFormat="false" ht="15" hidden="false" customHeight="false" outlineLevel="0" collapsed="false">
      <c r="A31" s="7" t="s">
        <v>31</v>
      </c>
      <c r="B31" s="13" t="n">
        <v>20</v>
      </c>
      <c r="C31" s="13" t="n">
        <v>100</v>
      </c>
      <c r="D31" s="13" t="n">
        <v>500</v>
      </c>
      <c r="E31" s="13" t="n">
        <v>1500</v>
      </c>
      <c r="F31" s="13" t="n">
        <v>4000</v>
      </c>
    </row>
    <row r="32" customFormat="false" ht="15" hidden="false" customHeight="false" outlineLevel="0" collapsed="false">
      <c r="A32" s="7" t="s">
        <v>32</v>
      </c>
      <c r="B32" s="13" t="n">
        <v>15</v>
      </c>
      <c r="C32" s="13" t="n">
        <v>50</v>
      </c>
      <c r="D32" s="13" t="n">
        <v>200</v>
      </c>
      <c r="E32" s="13" t="n">
        <v>600</v>
      </c>
      <c r="F32" s="13" t="n">
        <v>1500</v>
      </c>
    </row>
    <row r="33" customFormat="false" ht="15" hidden="false" customHeight="false" outlineLevel="0" collapsed="false">
      <c r="A33" s="7" t="s">
        <v>33</v>
      </c>
      <c r="B33" s="13" t="n">
        <v>10</v>
      </c>
      <c r="C33" s="13" t="n">
        <v>10</v>
      </c>
      <c r="D33" s="13" t="n">
        <v>15</v>
      </c>
      <c r="E33" s="13" t="n">
        <v>15</v>
      </c>
      <c r="F33" s="13" t="n">
        <v>20</v>
      </c>
    </row>
    <row r="35" customFormat="false" ht="15" hidden="false" customHeight="false" outlineLevel="0" collapsed="false">
      <c r="A35" s="5" t="s">
        <v>34</v>
      </c>
      <c r="B35" s="6"/>
      <c r="C35" s="6"/>
      <c r="D35" s="6"/>
      <c r="E35" s="6"/>
      <c r="F35" s="6"/>
    </row>
    <row r="36" customFormat="false" ht="15" hidden="false" customHeight="false" outlineLevel="0" collapsed="false">
      <c r="A36" s="7" t="s">
        <v>35</v>
      </c>
      <c r="B36" s="8" t="n">
        <v>2</v>
      </c>
      <c r="C36" s="8" t="n">
        <v>2</v>
      </c>
      <c r="D36" s="8" t="n">
        <v>2</v>
      </c>
      <c r="E36" s="8" t="n">
        <v>2</v>
      </c>
      <c r="F36" s="8" t="n">
        <v>2</v>
      </c>
    </row>
    <row r="37" customFormat="false" ht="15" hidden="false" customHeight="false" outlineLevel="0" collapsed="false">
      <c r="A37" s="7" t="s">
        <v>36</v>
      </c>
      <c r="B37" s="8" t="n">
        <v>0</v>
      </c>
      <c r="C37" s="8" t="n">
        <v>1</v>
      </c>
      <c r="D37" s="8" t="n">
        <v>3</v>
      </c>
      <c r="E37" s="8" t="n">
        <v>6</v>
      </c>
      <c r="F37" s="8" t="n">
        <v>10</v>
      </c>
    </row>
    <row r="38" customFormat="false" ht="15" hidden="false" customHeight="false" outlineLevel="0" collapsed="false">
      <c r="A38" s="7" t="s">
        <v>37</v>
      </c>
      <c r="B38" s="13" t="n">
        <v>0</v>
      </c>
      <c r="C38" s="13" t="n">
        <v>60000</v>
      </c>
      <c r="D38" s="13" t="n">
        <v>65000</v>
      </c>
      <c r="E38" s="13" t="n">
        <v>70000</v>
      </c>
      <c r="F38" s="13" t="n">
        <v>75000</v>
      </c>
    </row>
    <row r="39" customFormat="false" ht="15" hidden="false" customHeight="false" outlineLevel="0" collapsed="false">
      <c r="A39" s="7" t="s">
        <v>38</v>
      </c>
      <c r="B39" s="8" t="n">
        <v>0</v>
      </c>
      <c r="C39" s="8" t="n">
        <v>0</v>
      </c>
      <c r="D39" s="8" t="n">
        <v>1</v>
      </c>
      <c r="E39" s="8" t="n">
        <v>2</v>
      </c>
      <c r="F39" s="8" t="n">
        <v>3</v>
      </c>
    </row>
    <row r="40" customFormat="false" ht="15" hidden="false" customHeight="false" outlineLevel="0" collapsed="false">
      <c r="A40" s="7" t="s">
        <v>39</v>
      </c>
      <c r="B40" s="13" t="n">
        <v>0</v>
      </c>
      <c r="C40" s="13" t="n">
        <v>0</v>
      </c>
      <c r="D40" s="13" t="n">
        <v>45000</v>
      </c>
      <c r="E40" s="13" t="n">
        <v>48000</v>
      </c>
      <c r="F40" s="13" t="n">
        <v>50000</v>
      </c>
    </row>
    <row r="41" customFormat="false" ht="15" hidden="false" customHeight="false" outlineLevel="0" collapsed="false">
      <c r="A41" s="7" t="s">
        <v>40</v>
      </c>
      <c r="B41" s="13" t="n">
        <v>500</v>
      </c>
      <c r="C41" s="13" t="n">
        <v>5000</v>
      </c>
      <c r="D41" s="13" t="n">
        <v>30000</v>
      </c>
      <c r="E41" s="13" t="n">
        <v>100000</v>
      </c>
      <c r="F41" s="13" t="n">
        <v>250000</v>
      </c>
    </row>
    <row r="42" customFormat="false" ht="15" hidden="false" customHeight="false" outlineLevel="0" collapsed="false">
      <c r="A42" s="7" t="s">
        <v>41</v>
      </c>
      <c r="B42" s="13" t="n">
        <v>500</v>
      </c>
      <c r="C42" s="13" t="n">
        <v>2000</v>
      </c>
      <c r="D42" s="13" t="n">
        <v>10000</v>
      </c>
      <c r="E42" s="13" t="n">
        <v>25000</v>
      </c>
      <c r="F42" s="13" t="n">
        <v>50000</v>
      </c>
    </row>
    <row r="43" customFormat="false" ht="15" hidden="false" customHeight="false" outlineLevel="0" collapsed="false">
      <c r="A43" s="7" t="s">
        <v>42</v>
      </c>
      <c r="B43" s="13" t="n">
        <v>200</v>
      </c>
      <c r="C43" s="13" t="n">
        <v>1000</v>
      </c>
      <c r="D43" s="13" t="n">
        <v>5000</v>
      </c>
      <c r="E43" s="13" t="n">
        <v>15000</v>
      </c>
      <c r="F43" s="13" t="n"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2" t="s">
        <v>43</v>
      </c>
    </row>
    <row r="3" customFormat="false" ht="15" hidden="false" customHeight="false" outlineLevel="0" collapsed="false">
      <c r="A3" s="4" t="s">
        <v>44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" t="s">
        <v>45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9" t="s">
        <v>46</v>
      </c>
      <c r="B5" s="15" t="n">
        <f aca="false">Assumptions!B12*Assumptions!B15</f>
        <v>50000</v>
      </c>
      <c r="C5" s="15" t="n">
        <f aca="false">Assumptions!C12*Assumptions!C15</f>
        <v>600000</v>
      </c>
      <c r="D5" s="15" t="n">
        <f aca="false">Assumptions!D12*Assumptions!D15</f>
        <v>4800000</v>
      </c>
      <c r="E5" s="15" t="n">
        <f aca="false">Assumptions!E12*Assumptions!E15</f>
        <v>22500000</v>
      </c>
      <c r="F5" s="15" t="n">
        <f aca="false">Assumptions!F12*Assumptions!F15</f>
        <v>90000000</v>
      </c>
    </row>
    <row r="6" customFormat="false" ht="15" hidden="false" customHeight="false" outlineLevel="0" collapsed="false">
      <c r="A6" s="9" t="s">
        <v>47</v>
      </c>
      <c r="B6" s="15" t="n">
        <f aca="false">B5*Assumptions!B16</f>
        <v>1500</v>
      </c>
      <c r="C6" s="15" t="n">
        <f aca="false">C5*Assumptions!C16</f>
        <v>21000</v>
      </c>
      <c r="D6" s="15" t="n">
        <f aca="false">D5*Assumptions!D16</f>
        <v>192000</v>
      </c>
      <c r="E6" s="15" t="n">
        <f aca="false">E5*Assumptions!E16</f>
        <v>945000</v>
      </c>
      <c r="F6" s="15" t="n">
        <f aca="false">F5*Assumptions!F16</f>
        <v>4050000</v>
      </c>
    </row>
    <row r="7" customFormat="false" ht="15" hidden="false" customHeight="false" outlineLevel="0" collapsed="false">
      <c r="A7" s="9" t="s">
        <v>48</v>
      </c>
      <c r="B7" s="15" t="n">
        <f aca="false">B6*Assumptions!B17</f>
        <v>120</v>
      </c>
      <c r="C7" s="15" t="n">
        <f aca="false">C6*Assumptions!C17</f>
        <v>1890</v>
      </c>
      <c r="D7" s="15" t="n">
        <f aca="false">D6*Assumptions!D17</f>
        <v>19200</v>
      </c>
      <c r="E7" s="15" t="n">
        <f aca="false">E6*Assumptions!E17</f>
        <v>103950</v>
      </c>
      <c r="F7" s="15" t="n">
        <f aca="false">F6*Assumptions!F17</f>
        <v>486000</v>
      </c>
    </row>
    <row r="8" customFormat="false" ht="15" hidden="false" customHeight="false" outlineLevel="0" collapsed="false">
      <c r="A8" s="9" t="s">
        <v>49</v>
      </c>
      <c r="B8" s="16" t="n">
        <f aca="false">B7*Assumptions!B20*12</f>
        <v>25920</v>
      </c>
      <c r="C8" s="16" t="n">
        <f aca="false">C7*Assumptions!C20*12</f>
        <v>408240</v>
      </c>
      <c r="D8" s="16" t="n">
        <f aca="false">D7*Assumptions!D20*12</f>
        <v>4377600</v>
      </c>
      <c r="E8" s="16" t="n">
        <f aca="false">E7*Assumptions!E20*12</f>
        <v>23700600</v>
      </c>
      <c r="F8" s="16" t="n">
        <f aca="false">F7*Assumptions!F20*12</f>
        <v>116640000</v>
      </c>
    </row>
    <row r="9" customFormat="false" ht="15" hidden="false" customHeight="false" outlineLevel="0" collapsed="false">
      <c r="A9" s="9" t="s">
        <v>50</v>
      </c>
      <c r="B9" s="16" t="n">
        <f aca="false">B8*Assumptions!B21</f>
        <v>1684.8</v>
      </c>
      <c r="C9" s="16" t="n">
        <f aca="false">C8*Assumptions!C21</f>
        <v>28576.8</v>
      </c>
      <c r="D9" s="16" t="n">
        <f aca="false">D8*Assumptions!D21</f>
        <v>328320</v>
      </c>
      <c r="E9" s="16" t="n">
        <f aca="false">E8*Assumptions!E21</f>
        <v>1896048</v>
      </c>
      <c r="F9" s="16" t="n">
        <f aca="false">F8*Assumptions!F21</f>
        <v>9914400</v>
      </c>
    </row>
    <row r="10" customFormat="false" ht="15" hidden="false" customHeight="false" outlineLevel="0" collapsed="false">
      <c r="A10" s="17" t="s">
        <v>51</v>
      </c>
      <c r="B10" s="18" t="n">
        <f aca="false">B9*Assumptions!B22*(1-Assumptions!B24)</f>
        <v>421.2</v>
      </c>
      <c r="C10" s="18" t="n">
        <f aca="false">C9*Assumptions!C22*(1-Assumptions!C24)</f>
        <v>7144.2</v>
      </c>
      <c r="D10" s="18" t="n">
        <f aca="false">D9*Assumptions!D22*(1-Assumptions!D24)</f>
        <v>73872</v>
      </c>
      <c r="E10" s="18" t="n">
        <f aca="false">E9*Assumptions!E22*(1-Assumptions!E24)</f>
        <v>355509</v>
      </c>
      <c r="F10" s="18" t="n">
        <f aca="false">F9*Assumptions!F22*(1-Assumptions!F24)</f>
        <v>1487160</v>
      </c>
    </row>
    <row r="12" customFormat="false" ht="15" hidden="false" customHeight="false" outlineLevel="0" collapsed="false">
      <c r="A12" s="5" t="s">
        <v>52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9" t="s">
        <v>53</v>
      </c>
      <c r="B13" s="16" t="n">
        <f aca="false">B8*Assumptions!B24</f>
        <v>0</v>
      </c>
      <c r="C13" s="16" t="n">
        <f aca="false">C8*Assumptions!C24</f>
        <v>0</v>
      </c>
      <c r="D13" s="16" t="n">
        <f aca="false">D8*Assumptions!D24</f>
        <v>437760</v>
      </c>
      <c r="E13" s="16" t="n">
        <f aca="false">E8*Assumptions!E24</f>
        <v>5925150</v>
      </c>
      <c r="F13" s="16" t="n">
        <f aca="false">F8*Assumptions!F24</f>
        <v>46656000</v>
      </c>
    </row>
    <row r="14" customFormat="false" ht="15" hidden="false" customHeight="false" outlineLevel="0" collapsed="false">
      <c r="A14" s="9" t="s">
        <v>54</v>
      </c>
      <c r="B14" s="19" t="n">
        <f aca="false">Assumptions!B21+Assumptions!B23</f>
        <v>0.065</v>
      </c>
      <c r="C14" s="19" t="n">
        <f aca="false">Assumptions!C21+Assumptions!C23</f>
        <v>0.07</v>
      </c>
      <c r="D14" s="19" t="n">
        <f aca="false">Assumptions!D21+Assumptions!D23</f>
        <v>0.115</v>
      </c>
      <c r="E14" s="19" t="n">
        <f aca="false">Assumptions!E21+Assumptions!E23</f>
        <v>0.14</v>
      </c>
      <c r="F14" s="19" t="n">
        <f aca="false">Assumptions!F21+Assumptions!F23</f>
        <v>0.165</v>
      </c>
    </row>
    <row r="15" customFormat="false" ht="15" hidden="false" customHeight="false" outlineLevel="0" collapsed="false">
      <c r="A15" s="17" t="s">
        <v>55</v>
      </c>
      <c r="B15" s="18" t="n">
        <f aca="false">B13*B14*Assumptions!B22</f>
        <v>0</v>
      </c>
      <c r="C15" s="18" t="n">
        <f aca="false">C13*C14*Assumptions!C22</f>
        <v>0</v>
      </c>
      <c r="D15" s="18" t="n">
        <f aca="false">D13*D14*Assumptions!D22</f>
        <v>12585.6</v>
      </c>
      <c r="E15" s="18" t="n">
        <f aca="false">E13*E14*Assumptions!E22</f>
        <v>207380.25</v>
      </c>
      <c r="F15" s="18" t="n">
        <f aca="false">F13*F14*Assumptions!F22</f>
        <v>1924560</v>
      </c>
    </row>
    <row r="17" customFormat="false" ht="15" hidden="false" customHeight="false" outlineLevel="0" collapsed="false">
      <c r="A17" s="20" t="s">
        <v>56</v>
      </c>
      <c r="B17" s="21" t="n">
        <f aca="false">B10+B15</f>
        <v>421.2</v>
      </c>
      <c r="C17" s="21" t="n">
        <f aca="false">C10+C15</f>
        <v>7144.2</v>
      </c>
      <c r="D17" s="21" t="n">
        <f aca="false">D10+D15</f>
        <v>86457.6</v>
      </c>
      <c r="E17" s="21" t="n">
        <f aca="false">E10+E15</f>
        <v>562889.25</v>
      </c>
      <c r="F17" s="21" t="n">
        <f aca="false">F10+F15</f>
        <v>3411720</v>
      </c>
    </row>
    <row r="18" customFormat="false" ht="15" hidden="false" customHeight="false" outlineLevel="0" collapsed="false">
      <c r="A18" s="9" t="s">
        <v>57</v>
      </c>
      <c r="B18" s="22" t="n">
        <f aca="false">IF(Assumptions!B6=0,0,B17/Assumptions!B6)</f>
        <v>0.2106</v>
      </c>
      <c r="C18" s="22" t="n">
        <f aca="false">IF(Assumptions!C6=0,0,C17/Assumptions!C6)</f>
        <v>0.47628</v>
      </c>
      <c r="D18" s="22" t="n">
        <f aca="false">IF(Assumptions!D6=0,0,D17/Assumptions!D6)</f>
        <v>1.08072</v>
      </c>
      <c r="E18" s="22" t="n">
        <f aca="false">IF(Assumptions!E6=0,0,E17/Assumptions!E6)</f>
        <v>1.8762975</v>
      </c>
      <c r="F18" s="22" t="n">
        <f aca="false">IF(Assumptions!F6=0,0,F17/Assumptions!F6)</f>
        <v>4.26465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2" t="s">
        <v>58</v>
      </c>
    </row>
    <row r="3" customFormat="false" ht="15" hidden="false" customHeight="false" outlineLevel="0" collapsed="false">
      <c r="A3" s="4" t="s">
        <v>59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" t="s">
        <v>60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9" t="s">
        <v>61</v>
      </c>
      <c r="B5" s="16" t="n">
        <f aca="false">Assumptions!B27*12</f>
        <v>1800</v>
      </c>
      <c r="C5" s="16" t="n">
        <f aca="false">Assumptions!C27*12</f>
        <v>7200</v>
      </c>
      <c r="D5" s="16" t="n">
        <f aca="false">Assumptions!D27*12</f>
        <v>30000</v>
      </c>
      <c r="E5" s="16" t="n">
        <f aca="false">Assumptions!E27*12</f>
        <v>96000</v>
      </c>
      <c r="F5" s="16" t="n">
        <f aca="false">Assumptions!F27*12</f>
        <v>216000</v>
      </c>
    </row>
    <row r="6" customFormat="false" ht="15" hidden="false" customHeight="false" outlineLevel="0" collapsed="false">
      <c r="A6" s="9" t="s">
        <v>62</v>
      </c>
      <c r="B6" s="16" t="n">
        <f aca="false">Assumptions!B28*12</f>
        <v>300</v>
      </c>
      <c r="C6" s="16" t="n">
        <f aca="false">Assumptions!C28*12</f>
        <v>2400</v>
      </c>
      <c r="D6" s="16" t="n">
        <f aca="false">Assumptions!D28*12</f>
        <v>14400</v>
      </c>
      <c r="E6" s="16" t="n">
        <f aca="false">Assumptions!E28*12</f>
        <v>60000</v>
      </c>
      <c r="F6" s="16" t="n">
        <f aca="false">Assumptions!F28*12</f>
        <v>180000</v>
      </c>
    </row>
    <row r="7" customFormat="false" ht="15" hidden="false" customHeight="false" outlineLevel="0" collapsed="false">
      <c r="A7" s="9" t="s">
        <v>63</v>
      </c>
      <c r="B7" s="16" t="n">
        <f aca="false">Assumptions!B6*Assumptions!B30*12/1000*Assumptions!B29</f>
        <v>144</v>
      </c>
      <c r="C7" s="16" t="n">
        <f aca="false">Assumptions!C6*Assumptions!C30*12/1000*Assumptions!C29</f>
        <v>1080</v>
      </c>
      <c r="D7" s="16" t="n">
        <f aca="false">Assumptions!D6*Assumptions!D30*12/1000*Assumptions!D29</f>
        <v>5760</v>
      </c>
      <c r="E7" s="16" t="n">
        <f aca="false">Assumptions!E6*Assumptions!E30*12/1000*Assumptions!E29</f>
        <v>18360</v>
      </c>
      <c r="F7" s="16" t="n">
        <f aca="false">Assumptions!F6*Assumptions!F30*12/1000*Assumptions!F29</f>
        <v>50400</v>
      </c>
    </row>
    <row r="8" customFormat="false" ht="15" hidden="false" customHeight="false" outlineLevel="0" collapsed="false">
      <c r="A8" s="9" t="s">
        <v>64</v>
      </c>
      <c r="B8" s="16" t="n">
        <f aca="false">Assumptions!B31*12</f>
        <v>240</v>
      </c>
      <c r="C8" s="16" t="n">
        <f aca="false">Assumptions!C31*12</f>
        <v>1200</v>
      </c>
      <c r="D8" s="16" t="n">
        <f aca="false">Assumptions!D31*12</f>
        <v>6000</v>
      </c>
      <c r="E8" s="16" t="n">
        <f aca="false">Assumptions!E31*12</f>
        <v>18000</v>
      </c>
      <c r="F8" s="16" t="n">
        <f aca="false">Assumptions!F31*12</f>
        <v>48000</v>
      </c>
    </row>
    <row r="9" customFormat="false" ht="15" hidden="false" customHeight="false" outlineLevel="0" collapsed="false">
      <c r="A9" s="9" t="s">
        <v>65</v>
      </c>
      <c r="B9" s="16" t="n">
        <f aca="false">Assumptions!B32*12</f>
        <v>180</v>
      </c>
      <c r="C9" s="16" t="n">
        <f aca="false">Assumptions!C32*12</f>
        <v>600</v>
      </c>
      <c r="D9" s="16" t="n">
        <f aca="false">Assumptions!D32*12</f>
        <v>2400</v>
      </c>
      <c r="E9" s="16" t="n">
        <f aca="false">Assumptions!E32*12</f>
        <v>7200</v>
      </c>
      <c r="F9" s="16" t="n">
        <f aca="false">Assumptions!F32*12</f>
        <v>18000</v>
      </c>
    </row>
    <row r="10" customFormat="false" ht="15" hidden="false" customHeight="false" outlineLevel="0" collapsed="false">
      <c r="A10" s="9" t="s">
        <v>66</v>
      </c>
      <c r="B10" s="16" t="n">
        <f aca="false">Assumptions!B33*12</f>
        <v>120</v>
      </c>
      <c r="C10" s="16" t="n">
        <f aca="false">Assumptions!C33*12</f>
        <v>120</v>
      </c>
      <c r="D10" s="16" t="n">
        <f aca="false">Assumptions!D33*12</f>
        <v>180</v>
      </c>
      <c r="E10" s="16" t="n">
        <f aca="false">Assumptions!E33*12</f>
        <v>180</v>
      </c>
      <c r="F10" s="16" t="n">
        <f aca="false">Assumptions!F33*12</f>
        <v>240</v>
      </c>
    </row>
    <row r="11" customFormat="false" ht="15" hidden="false" customHeight="false" outlineLevel="0" collapsed="false">
      <c r="A11" s="17" t="s">
        <v>67</v>
      </c>
      <c r="B11" s="18" t="n">
        <f aca="false">SUM(B5:B10)</f>
        <v>2784</v>
      </c>
      <c r="C11" s="18" t="n">
        <f aca="false">SUM(C5:C10)</f>
        <v>12600</v>
      </c>
      <c r="D11" s="18" t="n">
        <f aca="false">SUM(D5:D10)</f>
        <v>58740</v>
      </c>
      <c r="E11" s="18" t="n">
        <f aca="false">SUM(E5:E10)</f>
        <v>199740</v>
      </c>
      <c r="F11" s="18" t="n">
        <f aca="false">SUM(F5:F10)</f>
        <v>512640</v>
      </c>
    </row>
    <row r="13" customFormat="false" ht="15" hidden="false" customHeight="false" outlineLevel="0" collapsed="false">
      <c r="A13" s="5" t="s">
        <v>68</v>
      </c>
      <c r="B13" s="6"/>
      <c r="C13" s="6"/>
      <c r="D13" s="6"/>
      <c r="E13" s="6"/>
      <c r="F13" s="6"/>
    </row>
    <row r="14" customFormat="false" ht="15" hidden="false" customHeight="false" outlineLevel="0" collapsed="false">
      <c r="A14" s="9" t="s">
        <v>69</v>
      </c>
      <c r="B14" s="16" t="n">
        <f aca="false">Assumptions!B37*Assumptions!B38</f>
        <v>0</v>
      </c>
      <c r="C14" s="16" t="n">
        <f aca="false">Assumptions!C37*Assumptions!C38</f>
        <v>60000</v>
      </c>
      <c r="D14" s="16" t="n">
        <f aca="false">Assumptions!D37*Assumptions!D38</f>
        <v>195000</v>
      </c>
      <c r="E14" s="16" t="n">
        <f aca="false">Assumptions!E37*Assumptions!E38</f>
        <v>420000</v>
      </c>
      <c r="F14" s="16" t="n">
        <f aca="false">Assumptions!F37*Assumptions!F38</f>
        <v>750000</v>
      </c>
    </row>
    <row r="15" customFormat="false" ht="15" hidden="false" customHeight="false" outlineLevel="0" collapsed="false">
      <c r="A15" s="9" t="s">
        <v>70</v>
      </c>
      <c r="B15" s="16" t="n">
        <f aca="false">Assumptions!B39*Assumptions!B40</f>
        <v>0</v>
      </c>
      <c r="C15" s="16" t="n">
        <f aca="false">Assumptions!C39*Assumptions!C40</f>
        <v>0</v>
      </c>
      <c r="D15" s="16" t="n">
        <f aca="false">Assumptions!D39*Assumptions!D40</f>
        <v>45000</v>
      </c>
      <c r="E15" s="16" t="n">
        <f aca="false">Assumptions!E39*Assumptions!E40</f>
        <v>96000</v>
      </c>
      <c r="F15" s="16" t="n">
        <f aca="false">Assumptions!F39*Assumptions!F40</f>
        <v>150000</v>
      </c>
    </row>
    <row r="16" customFormat="false" ht="15" hidden="false" customHeight="false" outlineLevel="0" collapsed="false">
      <c r="A16" s="17" t="s">
        <v>71</v>
      </c>
      <c r="B16" s="18" t="n">
        <f aca="false">SUM(B14:B15)</f>
        <v>0</v>
      </c>
      <c r="C16" s="18" t="n">
        <f aca="false">SUM(C14:C15)</f>
        <v>60000</v>
      </c>
      <c r="D16" s="18" t="n">
        <f aca="false">SUM(D14:D15)</f>
        <v>240000</v>
      </c>
      <c r="E16" s="18" t="n">
        <f aca="false">SUM(E14:E15)</f>
        <v>516000</v>
      </c>
      <c r="F16" s="18" t="n">
        <f aca="false">SUM(F14:F15)</f>
        <v>900000</v>
      </c>
    </row>
    <row r="18" customFormat="false" ht="15" hidden="false" customHeight="false" outlineLevel="0" collapsed="false">
      <c r="A18" s="5" t="s">
        <v>72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9" t="s">
        <v>73</v>
      </c>
      <c r="B19" s="16" t="n">
        <f aca="false">Assumptions!B41</f>
        <v>500</v>
      </c>
      <c r="C19" s="16" t="n">
        <f aca="false">Assumptions!C41</f>
        <v>5000</v>
      </c>
      <c r="D19" s="16" t="n">
        <f aca="false">Assumptions!D41</f>
        <v>30000</v>
      </c>
      <c r="E19" s="16" t="n">
        <f aca="false">Assumptions!E41</f>
        <v>100000</v>
      </c>
      <c r="F19" s="16" t="n">
        <f aca="false">Assumptions!F41</f>
        <v>250000</v>
      </c>
    </row>
    <row r="20" customFormat="false" ht="15" hidden="false" customHeight="false" outlineLevel="0" collapsed="false">
      <c r="A20" s="9" t="s">
        <v>74</v>
      </c>
      <c r="B20" s="16" t="n">
        <f aca="false">Assumptions!B42</f>
        <v>500</v>
      </c>
      <c r="C20" s="16" t="n">
        <f aca="false">Assumptions!C42</f>
        <v>2000</v>
      </c>
      <c r="D20" s="16" t="n">
        <f aca="false">Assumptions!D42</f>
        <v>10000</v>
      </c>
      <c r="E20" s="16" t="n">
        <f aca="false">Assumptions!E42</f>
        <v>25000</v>
      </c>
      <c r="F20" s="16" t="n">
        <f aca="false">Assumptions!F42</f>
        <v>50000</v>
      </c>
    </row>
    <row r="21" customFormat="false" ht="15" hidden="false" customHeight="false" outlineLevel="0" collapsed="false">
      <c r="A21" s="9" t="s">
        <v>75</v>
      </c>
      <c r="B21" s="16" t="n">
        <f aca="false">Assumptions!B43</f>
        <v>200</v>
      </c>
      <c r="C21" s="16" t="n">
        <f aca="false">Assumptions!C43</f>
        <v>1000</v>
      </c>
      <c r="D21" s="16" t="n">
        <f aca="false">Assumptions!D43</f>
        <v>5000</v>
      </c>
      <c r="E21" s="16" t="n">
        <f aca="false">Assumptions!E43</f>
        <v>15000</v>
      </c>
      <c r="F21" s="16" t="n">
        <f aca="false">Assumptions!F43</f>
        <v>30000</v>
      </c>
    </row>
    <row r="22" customFormat="false" ht="15" hidden="false" customHeight="false" outlineLevel="0" collapsed="false">
      <c r="A22" s="17" t="s">
        <v>76</v>
      </c>
      <c r="B22" s="18" t="n">
        <f aca="false">SUM(B19:B21)</f>
        <v>1200</v>
      </c>
      <c r="C22" s="18" t="n">
        <f aca="false">SUM(C19:C21)</f>
        <v>8000</v>
      </c>
      <c r="D22" s="18" t="n">
        <f aca="false">SUM(D19:D21)</f>
        <v>45000</v>
      </c>
      <c r="E22" s="18" t="n">
        <f aca="false">SUM(E19:E21)</f>
        <v>140000</v>
      </c>
      <c r="F22" s="18" t="n">
        <f aca="false">SUM(F19:F21)</f>
        <v>330000</v>
      </c>
    </row>
    <row r="24" customFormat="false" ht="15" hidden="false" customHeight="false" outlineLevel="0" collapsed="false">
      <c r="A24" s="23" t="s">
        <v>77</v>
      </c>
      <c r="B24" s="24" t="n">
        <f aca="false">B11+B16+B22</f>
        <v>3984</v>
      </c>
      <c r="C24" s="24" t="n">
        <f aca="false">C11+C16+C22</f>
        <v>80600</v>
      </c>
      <c r="D24" s="24" t="n">
        <f aca="false">D11+D16+D22</f>
        <v>343740</v>
      </c>
      <c r="E24" s="24" t="n">
        <f aca="false">E11+E16+E22</f>
        <v>855740</v>
      </c>
      <c r="F24" s="24" t="n">
        <f aca="false">F11+F16+F22</f>
        <v>1742640</v>
      </c>
    </row>
    <row r="25" customFormat="false" ht="15" hidden="false" customHeight="false" outlineLevel="0" collapsed="false">
      <c r="A25" s="9" t="s">
        <v>78</v>
      </c>
      <c r="B25" s="22" t="n">
        <f aca="false">IF(Assumptions!B6=0,0,B24/Assumptions!B6)</f>
        <v>1.992</v>
      </c>
      <c r="C25" s="22" t="n">
        <f aca="false">IF(Assumptions!C6=0,0,C24/Assumptions!C6)</f>
        <v>5.37333333333333</v>
      </c>
      <c r="D25" s="22" t="n">
        <f aca="false">IF(Assumptions!D6=0,0,D24/Assumptions!D6)</f>
        <v>4.29675</v>
      </c>
      <c r="E25" s="22" t="n">
        <f aca="false">IF(Assumptions!E6=0,0,E24/Assumptions!E6)</f>
        <v>2.85246666666667</v>
      </c>
      <c r="F25" s="22" t="n">
        <f aca="false">IF(Assumptions!F6=0,0,F24/Assumptions!F6)</f>
        <v>2.1783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2" t="s">
        <v>79</v>
      </c>
    </row>
    <row r="3" customFormat="false" ht="15" hidden="false" customHeight="false" outlineLevel="0" collapsed="false">
      <c r="A3" s="4" t="s">
        <v>80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9" t="s">
        <v>81</v>
      </c>
      <c r="B4" s="16" t="n">
        <f aca="false">Revenue!B10</f>
        <v>421.2</v>
      </c>
      <c r="C4" s="16" t="n">
        <f aca="false">Revenue!C10</f>
        <v>7144.2</v>
      </c>
      <c r="D4" s="16" t="n">
        <f aca="false">Revenue!D10</f>
        <v>73872</v>
      </c>
      <c r="E4" s="16" t="n">
        <f aca="false">Revenue!E10</f>
        <v>355509</v>
      </c>
      <c r="F4" s="16" t="n">
        <f aca="false">Revenue!F10</f>
        <v>1487160</v>
      </c>
    </row>
    <row r="5" customFormat="false" ht="15" hidden="false" customHeight="false" outlineLevel="0" collapsed="false">
      <c r="A5" s="9" t="s">
        <v>55</v>
      </c>
      <c r="B5" s="16" t="n">
        <f aca="false">Revenue!B15</f>
        <v>0</v>
      </c>
      <c r="C5" s="16" t="n">
        <f aca="false">Revenue!C15</f>
        <v>0</v>
      </c>
      <c r="D5" s="16" t="n">
        <f aca="false">Revenue!D15</f>
        <v>12585.6</v>
      </c>
      <c r="E5" s="16" t="n">
        <f aca="false">Revenue!E15</f>
        <v>207380.25</v>
      </c>
      <c r="F5" s="16" t="n">
        <f aca="false">Revenue!F15</f>
        <v>1924560</v>
      </c>
    </row>
    <row r="6" customFormat="false" ht="15" hidden="false" customHeight="false" outlineLevel="0" collapsed="false">
      <c r="A6" s="17" t="s">
        <v>82</v>
      </c>
      <c r="B6" s="18" t="n">
        <f aca="false">Revenue!B17</f>
        <v>421.2</v>
      </c>
      <c r="C6" s="18" t="n">
        <f aca="false">Revenue!C17</f>
        <v>7144.2</v>
      </c>
      <c r="D6" s="18" t="n">
        <f aca="false">Revenue!D17</f>
        <v>86457.6</v>
      </c>
      <c r="E6" s="18" t="n">
        <f aca="false">Revenue!E17</f>
        <v>562889.25</v>
      </c>
      <c r="F6" s="18" t="n">
        <f aca="false">Revenue!F17</f>
        <v>3411720</v>
      </c>
    </row>
    <row r="8" customFormat="false" ht="15" hidden="false" customHeight="false" outlineLevel="0" collapsed="false">
      <c r="A8" s="5" t="s">
        <v>83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9" t="s">
        <v>84</v>
      </c>
      <c r="B9" s="16" t="n">
        <f aca="false">Costs!B11</f>
        <v>2784</v>
      </c>
      <c r="C9" s="16" t="n">
        <f aca="false">Costs!C11</f>
        <v>12600</v>
      </c>
      <c r="D9" s="16" t="n">
        <f aca="false">Costs!D11</f>
        <v>58740</v>
      </c>
      <c r="E9" s="16" t="n">
        <f aca="false">Costs!E11</f>
        <v>199740</v>
      </c>
      <c r="F9" s="16" t="n">
        <f aca="false">Costs!F11</f>
        <v>512640</v>
      </c>
    </row>
    <row r="10" customFormat="false" ht="15" hidden="false" customHeight="false" outlineLevel="0" collapsed="false">
      <c r="A10" s="9" t="s">
        <v>85</v>
      </c>
      <c r="B10" s="16" t="n">
        <f aca="false">Costs!B16</f>
        <v>0</v>
      </c>
      <c r="C10" s="16" t="n">
        <f aca="false">Costs!C16</f>
        <v>60000</v>
      </c>
      <c r="D10" s="16" t="n">
        <f aca="false">Costs!D16</f>
        <v>240000</v>
      </c>
      <c r="E10" s="16" t="n">
        <f aca="false">Costs!E16</f>
        <v>516000</v>
      </c>
      <c r="F10" s="16" t="n">
        <f aca="false">Costs!F16</f>
        <v>900000</v>
      </c>
    </row>
    <row r="11" customFormat="false" ht="15" hidden="false" customHeight="false" outlineLevel="0" collapsed="false">
      <c r="A11" s="9" t="s">
        <v>86</v>
      </c>
      <c r="B11" s="16" t="n">
        <f aca="false">Costs!B22</f>
        <v>1200</v>
      </c>
      <c r="C11" s="16" t="n">
        <f aca="false">Costs!C22</f>
        <v>8000</v>
      </c>
      <c r="D11" s="16" t="n">
        <f aca="false">Costs!D22</f>
        <v>45000</v>
      </c>
      <c r="E11" s="16" t="n">
        <f aca="false">Costs!E22</f>
        <v>140000</v>
      </c>
      <c r="F11" s="16" t="n">
        <f aca="false">Costs!F22</f>
        <v>330000</v>
      </c>
    </row>
    <row r="12" customFormat="false" ht="15" hidden="false" customHeight="false" outlineLevel="0" collapsed="false">
      <c r="A12" s="17" t="s">
        <v>87</v>
      </c>
      <c r="B12" s="18" t="n">
        <f aca="false">Costs!B24</f>
        <v>3984</v>
      </c>
      <c r="C12" s="18" t="n">
        <f aca="false">Costs!C24</f>
        <v>80600</v>
      </c>
      <c r="D12" s="18" t="n">
        <f aca="false">Costs!D24</f>
        <v>343740</v>
      </c>
      <c r="E12" s="18" t="n">
        <f aca="false">Costs!E24</f>
        <v>855740</v>
      </c>
      <c r="F12" s="18" t="n">
        <f aca="false">Costs!F24</f>
        <v>1742640</v>
      </c>
    </row>
    <row r="14" customFormat="false" ht="15" hidden="false" customHeight="false" outlineLevel="0" collapsed="false">
      <c r="A14" s="20" t="s">
        <v>88</v>
      </c>
      <c r="B14" s="21" t="n">
        <f aca="false">B6-B12</f>
        <v>-3562.8</v>
      </c>
      <c r="C14" s="21" t="n">
        <f aca="false">C6-C12</f>
        <v>-73455.8</v>
      </c>
      <c r="D14" s="21" t="n">
        <f aca="false">D6-D12</f>
        <v>-257282.4</v>
      </c>
      <c r="E14" s="21" t="n">
        <f aca="false">E6-E12</f>
        <v>-292850.75</v>
      </c>
      <c r="F14" s="21" t="n">
        <f aca="false">F6-F12</f>
        <v>1669080</v>
      </c>
    </row>
    <row r="15" customFormat="false" ht="15" hidden="false" customHeight="false" outlineLevel="0" collapsed="false">
      <c r="A15" s="9" t="s">
        <v>89</v>
      </c>
      <c r="B15" s="25" t="n">
        <f aca="false">IF(B6=0,0,B14/B6)</f>
        <v>-8.45868945868946</v>
      </c>
      <c r="C15" s="25" t="n">
        <f aca="false">IF(C6=0,0,C14/C6)</f>
        <v>-10.2818790067467</v>
      </c>
      <c r="D15" s="25" t="n">
        <f aca="false">IF(D6=0,0,D14/D6)</f>
        <v>-2.97582167443926</v>
      </c>
      <c r="E15" s="25" t="n">
        <f aca="false">IF(E6=0,0,E14/E6)</f>
        <v>-0.520263533190587</v>
      </c>
      <c r="F15" s="25" t="n">
        <f aca="false">IF(F6=0,0,F14/F6)</f>
        <v>0.489219513910872</v>
      </c>
    </row>
    <row r="16" customFormat="false" ht="15" hidden="false" customHeight="false" outlineLevel="0" collapsed="false">
      <c r="A16" s="26" t="s">
        <v>90</v>
      </c>
      <c r="B16" s="27" t="n">
        <f aca="false">B14</f>
        <v>-3562.8</v>
      </c>
      <c r="C16" s="27" t="n">
        <f aca="false">B16+C14</f>
        <v>-77018.6</v>
      </c>
      <c r="D16" s="27" t="n">
        <f aca="false">C16+D14</f>
        <v>-334301</v>
      </c>
      <c r="E16" s="27" t="n">
        <f aca="false">D16+E14</f>
        <v>-627151.75</v>
      </c>
      <c r="F16" s="27" t="n">
        <f aca="false">E16+F14</f>
        <v>1041928.25</v>
      </c>
    </row>
    <row r="18" customFormat="false" ht="15" hidden="false" customHeight="false" outlineLevel="0" collapsed="false">
      <c r="A18" s="5" t="s">
        <v>91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9" t="s">
        <v>92</v>
      </c>
      <c r="B19" s="15" t="n">
        <f aca="false">Assumptions!B6</f>
        <v>2000</v>
      </c>
      <c r="C19" s="15" t="n">
        <f aca="false">Assumptions!C6</f>
        <v>15000</v>
      </c>
      <c r="D19" s="15" t="n">
        <f aca="false">Assumptions!D6</f>
        <v>80000</v>
      </c>
      <c r="E19" s="15" t="n">
        <f aca="false">Assumptions!E6</f>
        <v>300000</v>
      </c>
      <c r="F19" s="15" t="n">
        <f aca="false">Assumptions!F6</f>
        <v>800000</v>
      </c>
    </row>
    <row r="20" customFormat="false" ht="15" hidden="false" customHeight="false" outlineLevel="0" collapsed="false">
      <c r="A20" s="9" t="s">
        <v>14</v>
      </c>
      <c r="B20" s="15" t="n">
        <f aca="false">Assumptions!B12</f>
        <v>10</v>
      </c>
      <c r="C20" s="15" t="n">
        <f aca="false">Assumptions!C12</f>
        <v>75</v>
      </c>
      <c r="D20" s="15" t="n">
        <f aca="false">Assumptions!D12</f>
        <v>400</v>
      </c>
      <c r="E20" s="15" t="n">
        <f aca="false">Assumptions!E12</f>
        <v>1500</v>
      </c>
      <c r="F20" s="15" t="n">
        <f aca="false">Assumptions!F12</f>
        <v>5000</v>
      </c>
    </row>
    <row r="21" customFormat="false" ht="15" hidden="false" customHeight="false" outlineLevel="0" collapsed="false">
      <c r="A21" s="9" t="s">
        <v>93</v>
      </c>
      <c r="B21" s="28" t="n">
        <f aca="false">Revenue!B18</f>
        <v>0.2106</v>
      </c>
      <c r="C21" s="28" t="n">
        <f aca="false">Revenue!C18</f>
        <v>0.47628</v>
      </c>
      <c r="D21" s="28" t="n">
        <f aca="false">Revenue!D18</f>
        <v>1.08072</v>
      </c>
      <c r="E21" s="28" t="n">
        <f aca="false">Revenue!E18</f>
        <v>1.8762975</v>
      </c>
      <c r="F21" s="28" t="n">
        <f aca="false">Revenue!F18</f>
        <v>4.26465</v>
      </c>
    </row>
    <row r="22" customFormat="false" ht="15" hidden="false" customHeight="false" outlineLevel="0" collapsed="false">
      <c r="A22" s="9" t="s">
        <v>94</v>
      </c>
      <c r="B22" s="28" t="n">
        <f aca="false">Costs!B25</f>
        <v>1.992</v>
      </c>
      <c r="C22" s="28" t="n">
        <f aca="false">Costs!C25</f>
        <v>5.37333333333333</v>
      </c>
      <c r="D22" s="28" t="n">
        <f aca="false">Costs!D25</f>
        <v>4.29675</v>
      </c>
      <c r="E22" s="28" t="n">
        <f aca="false">Costs!E25</f>
        <v>2.85246666666667</v>
      </c>
      <c r="F22" s="28" t="n">
        <f aca="false">Costs!F25</f>
        <v>2.1783</v>
      </c>
    </row>
    <row r="23" customFormat="false" ht="15" hidden="false" customHeight="false" outlineLevel="0" collapsed="false">
      <c r="A23" s="9" t="s">
        <v>95</v>
      </c>
      <c r="B23" s="10" t="n">
        <f aca="false">IF(Revenue!B17=0,0,Costs!B11/Revenue!B17)</f>
        <v>6.60968660968661</v>
      </c>
      <c r="C23" s="10" t="n">
        <f aca="false">IF(Revenue!C17=0,0,Costs!C11/Revenue!C17)</f>
        <v>1.7636684303351</v>
      </c>
      <c r="D23" s="10" t="n">
        <f aca="false">IF(Revenue!D17=0,0,Costs!D11/Revenue!D17)</f>
        <v>0.679408172329558</v>
      </c>
      <c r="E23" s="10" t="n">
        <f aca="false">IF(Revenue!E17=0,0,Costs!E11/Revenue!E17)</f>
        <v>0.354847778670493</v>
      </c>
      <c r="F23" s="10" t="n">
        <f aca="false">IF(Revenue!F17=0,0,Costs!F11/Revenue!F17)</f>
        <v>0.150258520628891</v>
      </c>
    </row>
    <row r="24" customFormat="false" ht="15" hidden="false" customHeight="false" outlineLevel="0" collapsed="false">
      <c r="A24" s="9" t="s">
        <v>96</v>
      </c>
      <c r="B24" s="29" t="str">
        <f aca="false">IF(B14&gt;0,"Y1",IF(C14&gt;0,"Y2",IF(D14&gt;0,"Y3",IF(E14&gt;0,"Y4",IF(F14&gt;0,"Y5","Not Yet")))))</f>
        <v>Y5</v>
      </c>
      <c r="C24" s="29"/>
      <c r="D24" s="29"/>
      <c r="E24" s="29"/>
      <c r="F24" s="29"/>
    </row>
  </sheetData>
  <mergeCells count="1"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F00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2" t="s">
        <v>97</v>
      </c>
    </row>
    <row r="2" customFormat="false" ht="15" hidden="false" customHeight="false" outlineLevel="0" collapsed="false">
      <c r="A2" s="30" t="s">
        <v>98</v>
      </c>
    </row>
    <row r="4" customFormat="false" ht="15" hidden="false" customHeight="false" outlineLevel="0" collapsed="false">
      <c r="A4" s="4" t="s">
        <v>99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31" t="s">
        <v>100</v>
      </c>
      <c r="B5" s="32" t="n">
        <f aca="false">Assumptions!B6*0.6</f>
        <v>1200</v>
      </c>
      <c r="C5" s="32" t="n">
        <f aca="false">Assumptions!C6*0.6</f>
        <v>9000</v>
      </c>
      <c r="D5" s="32" t="n">
        <f aca="false">Assumptions!D6*0.6</f>
        <v>48000</v>
      </c>
      <c r="E5" s="32" t="n">
        <f aca="false">Assumptions!E6*0.6</f>
        <v>180000</v>
      </c>
      <c r="F5" s="32" t="n">
        <f aca="false">Assumptions!F6*0.6</f>
        <v>480000</v>
      </c>
    </row>
    <row r="6" customFormat="false" ht="15" hidden="false" customHeight="false" outlineLevel="0" collapsed="false">
      <c r="A6" s="31" t="s">
        <v>101</v>
      </c>
      <c r="B6" s="32" t="n">
        <f aca="false">Assumptions!B12*0.6</f>
        <v>6</v>
      </c>
      <c r="C6" s="32" t="n">
        <f aca="false">Assumptions!C12*0.6</f>
        <v>45</v>
      </c>
      <c r="D6" s="32" t="n">
        <f aca="false">Assumptions!D12*0.6</f>
        <v>240</v>
      </c>
      <c r="E6" s="32" t="n">
        <f aca="false">Assumptions!E12*0.6</f>
        <v>900</v>
      </c>
      <c r="F6" s="32" t="n">
        <f aca="false">Assumptions!F12*0.6</f>
        <v>3000</v>
      </c>
    </row>
    <row r="7" customFormat="false" ht="15" hidden="false" customHeight="false" outlineLevel="0" collapsed="false">
      <c r="A7" s="31" t="s">
        <v>102</v>
      </c>
      <c r="B7" s="33" t="n">
        <f aca="false">Revenue!B17*0.36</f>
        <v>151.632</v>
      </c>
      <c r="C7" s="33" t="n">
        <f aca="false">Revenue!C17*0.36</f>
        <v>2571.912</v>
      </c>
      <c r="D7" s="33" t="n">
        <f aca="false">Revenue!D17*0.36</f>
        <v>31124.736</v>
      </c>
      <c r="E7" s="33" t="n">
        <f aca="false">Revenue!E17*0.36</f>
        <v>202640.13</v>
      </c>
      <c r="F7" s="33" t="n">
        <f aca="false">Revenue!F17*0.36</f>
        <v>1228219.2</v>
      </c>
    </row>
    <row r="8" customFormat="false" ht="15" hidden="false" customHeight="false" outlineLevel="0" collapsed="false">
      <c r="A8" s="31" t="s">
        <v>103</v>
      </c>
      <c r="B8" s="33" t="n">
        <f aca="false">Costs!B11*0.6+Costs!B16+Costs!B22*0.8</f>
        <v>2630.4</v>
      </c>
      <c r="C8" s="33" t="n">
        <f aca="false">Costs!C11*0.6+Costs!C16+Costs!C22*0.8</f>
        <v>73960</v>
      </c>
      <c r="D8" s="33" t="n">
        <f aca="false">Costs!D11*0.6+Costs!D16+Costs!D22*0.8</f>
        <v>311244</v>
      </c>
      <c r="E8" s="33" t="n">
        <f aca="false">Costs!E11*0.6+Costs!E16+Costs!E22*0.8</f>
        <v>747844</v>
      </c>
      <c r="F8" s="33" t="n">
        <f aca="false">Costs!F11*0.6+Costs!F16+Costs!F22*0.8</f>
        <v>1471584</v>
      </c>
    </row>
    <row r="9" customFormat="false" ht="15" hidden="false" customHeight="false" outlineLevel="0" collapsed="false">
      <c r="A9" s="34" t="s">
        <v>104</v>
      </c>
      <c r="B9" s="35" t="n">
        <f aca="false">B7-B8</f>
        <v>-2478.768</v>
      </c>
      <c r="C9" s="35" t="n">
        <f aca="false">C7-C8</f>
        <v>-71388.088</v>
      </c>
      <c r="D9" s="35" t="n">
        <f aca="false">D7-D8</f>
        <v>-280119.264</v>
      </c>
      <c r="E9" s="35" t="n">
        <f aca="false">E7-E8</f>
        <v>-545203.87</v>
      </c>
      <c r="F9" s="35" t="n">
        <f aca="false">F7-F8</f>
        <v>-243364.8</v>
      </c>
    </row>
    <row r="11" customFormat="false" ht="15" hidden="false" customHeight="false" outlineLevel="0" collapsed="false">
      <c r="A11" s="4" t="s">
        <v>105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</row>
    <row r="12" customFormat="false" ht="15" hidden="false" customHeight="false" outlineLevel="0" collapsed="false">
      <c r="A12" s="9" t="s">
        <v>106</v>
      </c>
      <c r="B12" s="15" t="n">
        <f aca="false">Assumptions!B6</f>
        <v>2000</v>
      </c>
      <c r="C12" s="15" t="n">
        <f aca="false">Assumptions!C6</f>
        <v>15000</v>
      </c>
      <c r="D12" s="15" t="n">
        <f aca="false">Assumptions!D6</f>
        <v>80000</v>
      </c>
      <c r="E12" s="15" t="n">
        <f aca="false">Assumptions!E6</f>
        <v>300000</v>
      </c>
      <c r="F12" s="15" t="n">
        <f aca="false">Assumptions!F6</f>
        <v>800000</v>
      </c>
    </row>
    <row r="13" customFormat="false" ht="15" hidden="false" customHeight="false" outlineLevel="0" collapsed="false">
      <c r="A13" s="9" t="s">
        <v>14</v>
      </c>
      <c r="B13" s="15" t="n">
        <f aca="false">Assumptions!B12</f>
        <v>10</v>
      </c>
      <c r="C13" s="15" t="n">
        <f aca="false">Assumptions!C12</f>
        <v>75</v>
      </c>
      <c r="D13" s="15" t="n">
        <f aca="false">Assumptions!D12</f>
        <v>400</v>
      </c>
      <c r="E13" s="15" t="n">
        <f aca="false">Assumptions!E12</f>
        <v>1500</v>
      </c>
      <c r="F13" s="15" t="n">
        <f aca="false">Assumptions!F12</f>
        <v>5000</v>
      </c>
    </row>
    <row r="14" customFormat="false" ht="15" hidden="false" customHeight="false" outlineLevel="0" collapsed="false">
      <c r="A14" s="9" t="s">
        <v>82</v>
      </c>
      <c r="B14" s="16" t="n">
        <f aca="false">Revenue!B17</f>
        <v>421.2</v>
      </c>
      <c r="C14" s="16" t="n">
        <f aca="false">Revenue!C17</f>
        <v>7144.2</v>
      </c>
      <c r="D14" s="16" t="n">
        <f aca="false">Revenue!D17</f>
        <v>86457.6</v>
      </c>
      <c r="E14" s="16" t="n">
        <f aca="false">Revenue!E17</f>
        <v>562889.25</v>
      </c>
      <c r="F14" s="16" t="n">
        <f aca="false">Revenue!F17</f>
        <v>3411720</v>
      </c>
    </row>
    <row r="15" customFormat="false" ht="15" hidden="false" customHeight="false" outlineLevel="0" collapsed="false">
      <c r="A15" s="9" t="s">
        <v>87</v>
      </c>
      <c r="B15" s="16" t="n">
        <f aca="false">Costs!B24</f>
        <v>3984</v>
      </c>
      <c r="C15" s="16" t="n">
        <f aca="false">Costs!C24</f>
        <v>80600</v>
      </c>
      <c r="D15" s="16" t="n">
        <f aca="false">Costs!D24</f>
        <v>343740</v>
      </c>
      <c r="E15" s="16" t="n">
        <f aca="false">Costs!E24</f>
        <v>855740</v>
      </c>
      <c r="F15" s="16" t="n">
        <f aca="false">Costs!F24</f>
        <v>1742640</v>
      </c>
    </row>
    <row r="16" customFormat="false" ht="15" hidden="false" customHeight="false" outlineLevel="0" collapsed="false">
      <c r="A16" s="20" t="s">
        <v>104</v>
      </c>
      <c r="B16" s="21" t="n">
        <f aca="false">B14-B15</f>
        <v>-3562.8</v>
      </c>
      <c r="C16" s="21" t="n">
        <f aca="false">C14-C15</f>
        <v>-73455.8</v>
      </c>
      <c r="D16" s="21" t="n">
        <f aca="false">D14-D15</f>
        <v>-257282.4</v>
      </c>
      <c r="E16" s="21" t="n">
        <f aca="false">E14-E15</f>
        <v>-292850.75</v>
      </c>
      <c r="F16" s="21" t="n">
        <f aca="false">F14-F15</f>
        <v>1669080</v>
      </c>
    </row>
    <row r="18" customFormat="false" ht="15" hidden="false" customHeight="false" outlineLevel="0" collapsed="false">
      <c r="A18" s="4" t="s">
        <v>107</v>
      </c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</row>
    <row r="19" customFormat="false" ht="15" hidden="false" customHeight="false" outlineLevel="0" collapsed="false">
      <c r="A19" s="36" t="s">
        <v>108</v>
      </c>
      <c r="B19" s="37" t="n">
        <f aca="false">Assumptions!B6*1.5</f>
        <v>3000</v>
      </c>
      <c r="C19" s="37" t="n">
        <f aca="false">Assumptions!C6*1.5</f>
        <v>22500</v>
      </c>
      <c r="D19" s="37" t="n">
        <f aca="false">Assumptions!D6*1.5</f>
        <v>120000</v>
      </c>
      <c r="E19" s="37" t="n">
        <f aca="false">Assumptions!E6*1.5</f>
        <v>450000</v>
      </c>
      <c r="F19" s="37" t="n">
        <f aca="false">Assumptions!F6*1.5</f>
        <v>1200000</v>
      </c>
    </row>
    <row r="20" customFormat="false" ht="15" hidden="false" customHeight="false" outlineLevel="0" collapsed="false">
      <c r="A20" s="36" t="s">
        <v>109</v>
      </c>
      <c r="B20" s="37" t="n">
        <f aca="false">Assumptions!B12*1.5</f>
        <v>15</v>
      </c>
      <c r="C20" s="37" t="n">
        <f aca="false">Assumptions!C12*1.5</f>
        <v>112.5</v>
      </c>
      <c r="D20" s="37" t="n">
        <f aca="false">Assumptions!D12*1.5</f>
        <v>600</v>
      </c>
      <c r="E20" s="37" t="n">
        <f aca="false">Assumptions!E12*1.5</f>
        <v>2250</v>
      </c>
      <c r="F20" s="37" t="n">
        <f aca="false">Assumptions!F12*1.5</f>
        <v>7500</v>
      </c>
    </row>
    <row r="21" customFormat="false" ht="15" hidden="false" customHeight="false" outlineLevel="0" collapsed="false">
      <c r="A21" s="36" t="s">
        <v>102</v>
      </c>
      <c r="B21" s="38" t="n">
        <f aca="false">Revenue!B17*2.25</f>
        <v>947.7</v>
      </c>
      <c r="C21" s="38" t="n">
        <f aca="false">Revenue!C17*2.25</f>
        <v>16074.45</v>
      </c>
      <c r="D21" s="38" t="n">
        <f aca="false">Revenue!D17*2.25</f>
        <v>194529.6</v>
      </c>
      <c r="E21" s="38" t="n">
        <f aca="false">Revenue!E17*2.25</f>
        <v>1266500.8125</v>
      </c>
      <c r="F21" s="38" t="n">
        <f aca="false">Revenue!F17*2.25</f>
        <v>7676370</v>
      </c>
    </row>
    <row r="22" customFormat="false" ht="15" hidden="false" customHeight="false" outlineLevel="0" collapsed="false">
      <c r="A22" s="36" t="s">
        <v>103</v>
      </c>
      <c r="B22" s="38" t="n">
        <f aca="false">Costs!B11*1.5+Costs!B16*1.2+Costs!B22*1.3</f>
        <v>5736</v>
      </c>
      <c r="C22" s="38" t="n">
        <f aca="false">Costs!C11*1.5+Costs!C16*1.2+Costs!C22*1.3</f>
        <v>101300</v>
      </c>
      <c r="D22" s="38" t="n">
        <f aca="false">Costs!D11*1.5+Costs!D16*1.2+Costs!D22*1.3</f>
        <v>434610</v>
      </c>
      <c r="E22" s="38" t="n">
        <f aca="false">Costs!E11*1.5+Costs!E16*1.2+Costs!E22*1.3</f>
        <v>1100810</v>
      </c>
      <c r="F22" s="38" t="n">
        <f aca="false">Costs!F11*1.5+Costs!F16*1.2+Costs!F22*1.3</f>
        <v>2277960</v>
      </c>
    </row>
    <row r="23" customFormat="false" ht="15" hidden="false" customHeight="false" outlineLevel="0" collapsed="false">
      <c r="A23" s="20" t="s">
        <v>104</v>
      </c>
      <c r="B23" s="21" t="n">
        <f aca="false">B21-B22</f>
        <v>-4788.3</v>
      </c>
      <c r="C23" s="21" t="n">
        <f aca="false">C21-C22</f>
        <v>-85225.55</v>
      </c>
      <c r="D23" s="21" t="n">
        <f aca="false">D21-D22</f>
        <v>-240080.4</v>
      </c>
      <c r="E23" s="21" t="n">
        <f aca="false">E21-E22</f>
        <v>165690.8125</v>
      </c>
      <c r="F23" s="21" t="n">
        <f aca="false">F21-F22</f>
        <v>5398410</v>
      </c>
    </row>
    <row r="25" customFormat="false" ht="15" hidden="false" customHeight="false" outlineLevel="0" collapsed="false">
      <c r="A25" s="4" t="s">
        <v>110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</row>
    <row r="26" customFormat="false" ht="15" hidden="false" customHeight="false" outlineLevel="0" collapsed="false">
      <c r="A26" s="31" t="s">
        <v>111</v>
      </c>
      <c r="B26" s="33" t="n">
        <f aca="false">B9</f>
        <v>-2478.768</v>
      </c>
      <c r="C26" s="33" t="n">
        <f aca="false">C9</f>
        <v>-71388.088</v>
      </c>
      <c r="D26" s="33" t="n">
        <f aca="false">D9</f>
        <v>-280119.264</v>
      </c>
      <c r="E26" s="33" t="n">
        <f aca="false">E9</f>
        <v>-545203.87</v>
      </c>
      <c r="F26" s="33" t="n">
        <f aca="false">F9</f>
        <v>-243364.8</v>
      </c>
    </row>
    <row r="27" customFormat="false" ht="15" hidden="false" customHeight="false" outlineLevel="0" collapsed="false">
      <c r="A27" s="9" t="s">
        <v>112</v>
      </c>
      <c r="B27" s="39" t="n">
        <f aca="false">B16</f>
        <v>-3562.8</v>
      </c>
      <c r="C27" s="39" t="n">
        <f aca="false">C16</f>
        <v>-73455.8</v>
      </c>
      <c r="D27" s="39" t="n">
        <f aca="false">D16</f>
        <v>-257282.4</v>
      </c>
      <c r="E27" s="39" t="n">
        <f aca="false">E16</f>
        <v>-292850.75</v>
      </c>
      <c r="F27" s="39" t="n">
        <f aca="false">F16</f>
        <v>1669080</v>
      </c>
    </row>
    <row r="28" customFormat="false" ht="15" hidden="false" customHeight="false" outlineLevel="0" collapsed="false">
      <c r="A28" s="36" t="s">
        <v>113</v>
      </c>
      <c r="B28" s="38" t="n">
        <f aca="false">B23</f>
        <v>-4788.3</v>
      </c>
      <c r="C28" s="38" t="n">
        <f aca="false">C23</f>
        <v>-85225.55</v>
      </c>
      <c r="D28" s="38" t="n">
        <f aca="false">D23</f>
        <v>-240080.4</v>
      </c>
      <c r="E28" s="38" t="n">
        <f aca="false">E23</f>
        <v>165690.8125</v>
      </c>
      <c r="F28" s="38" t="n">
        <f aca="false">F23</f>
        <v>5398410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2026-04-13T18:31:03Z</dcterms:created>
  <dc:creator>openpyxl</dc:creator>
  <dc:description/>
  <dc:language>en-US</dc:language>
  <cp:lastModifiedBy/>
  <dcterms:modified xsi:type="dcterms:W3CDTF">2026-04-13T18:33:47Z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